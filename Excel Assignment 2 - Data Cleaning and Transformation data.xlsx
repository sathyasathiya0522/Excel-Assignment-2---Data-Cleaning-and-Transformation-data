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5D5EB6-E55C-49F8-92A6-F2983AAFE2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</calcChain>
</file>

<file path=xl/sharedStrings.xml><?xml version="1.0" encoding="utf-8"?>
<sst xmlns="http://schemas.openxmlformats.org/spreadsheetml/2006/main" count="139" uniqueCount="100">
  <si>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</si>
  <si>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</si>
  <si>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</si>
  <si>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</si>
  <si>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</si>
  <si>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</si>
  <si>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</si>
  <si>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</si>
  <si>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</si>
  <si>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</si>
  <si>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</si>
  <si>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</si>
  <si>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</si>
  <si>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</si>
  <si>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</si>
  <si>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</si>
  <si>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</si>
  <si>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</si>
  <si>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</si>
  <si>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</si>
  <si>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</si>
  <si>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</si>
  <si>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</si>
  <si>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</si>
  <si>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</si>
  <si>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</si>
  <si>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</si>
  <si>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</si>
  <si>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</si>
  <si>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</si>
  <si>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</si>
  <si>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</si>
  <si>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</si>
  <si>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</si>
  <si>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</si>
  <si>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</si>
  <si>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</si>
  <si>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</si>
  <si>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</si>
  <si>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</si>
  <si>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</si>
  <si>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</si>
  <si>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</si>
  <si>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</si>
  <si>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</si>
  <si>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</si>
  <si>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</si>
  <si>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</si>
  <si>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</si>
  <si>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</si>
  <si>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</si>
  <si>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</si>
  <si>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</si>
  <si>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</si>
  <si>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</si>
  <si>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</si>
  <si>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</si>
  <si>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</si>
  <si>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</si>
  <si>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</si>
  <si>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</si>
  <si>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</si>
  <si>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</si>
  <si>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</si>
  <si>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</si>
  <si>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</si>
  <si>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</si>
  <si>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</si>
  <si>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</si>
  <si>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</si>
  <si>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</si>
  <si>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</si>
  <si>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</si>
  <si>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</si>
  <si>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</si>
  <si>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</si>
  <si>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</si>
  <si>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</si>
  <si>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</si>
  <si>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</si>
  <si>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</si>
  <si>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</si>
  <si>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</si>
  <si>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</si>
  <si>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</si>
  <si>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</si>
  <si>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</si>
  <si>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</si>
  <si>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</si>
  <si>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</si>
  <si>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</si>
  <si>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</si>
  <si>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</si>
  <si>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</si>
  <si>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</si>
  <si>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</si>
  <si>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NA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</si>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</sst>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9"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27CF0-DFFF-490F-8C56-9425778246CF}" name="Product_DB" displayName="Product_DB" ref="A1:F32" totalsRowShown="0" headerRowDxfId="8" dataDxfId="7">
  <autoFilter ref="A1:F32" xr:uid="{8EC27CF0-DFFF-490F-8C56-9425778246CF}"/>
  <tableColumns count="6">
    <tableColumn id="9" xr3:uid="{95097881-87A6-47EB-915A-4F3C8D8D8CA4}" name="Manufacturing Date" dataDxfId="6">
      <calculatedColumnFormula>TEXT(LEFT(I2,6),"dd-mm-yyyy")</calculatedColumnFormula>
    </tableColumn>
    <tableColumn id="8" xr3:uid="{601170AD-DD43-443C-8811-C1DC82A49853}" name="Country Code" dataDxfId="5">
      <calculatedColumnFormula>RIGHT(I2,2)</calculatedColumnFormula>
    </tableColumn>
    <tableColumn id="11" xr3:uid="{3804D223-1073-460D-863F-A5E092593B0A}" name="Product Brand" dataDxfId="4">
      <calculatedColumnFormula>_xlfn.CONCAT(J2," - ",K2)</calculatedColumnFormula>
    </tableColumn>
    <tableColumn id="4" xr3:uid="{9471E64E-319E-44DE-950F-291F74089740}" name="Price ($)" dataDxfId="3"/>
    <tableColumn id="5" xr3:uid="{37AFFCAD-9C97-4CDE-A7AA-01AE9D01B13D}" name="Quantity" dataDxfId="2"/>
    <tableColumn id="6" xr3:uid="{AEC40FFF-C6D8-4EAA-9F6D-8BBC3AC5909E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selection activeCell="N11" sqref="N11"/>
    </sheetView>
  </sheetViews>
  <sheetFormatPr defaultColWidth="12.5703125" defaultRowHeight="15" customHeight="1" x14ac:dyDescent="0.2"/>
  <cols>
    <col min="1" max="1" width="23.5703125" style="22" bestFit="1" customWidth="1"/>
    <col min="2" max="2" width="15.85546875" style="22" customWidth="1"/>
    <col min="3" max="3" width="22.85546875" style="22" bestFit="1" customWidth="1"/>
    <col min="4" max="4" width="13" style="11" bestFit="1" customWidth="1"/>
    <col min="5" max="5" width="13.140625" style="4" bestFit="1" customWidth="1"/>
    <col min="6" max="6" width="11.28515625" bestFit="1" customWidth="1"/>
    <col min="8" max="8" width="16" style="8" hidden="1" customWidth="1"/>
    <col min="9" max="9" width="15" hidden="1" customWidth="1"/>
    <col min="10" max="10" width="16" hidden="1" customWidth="1"/>
    <col min="11" max="11" width="16.85546875" hidden="1" customWidth="1"/>
  </cols>
  <sheetData>
    <row r="1" spans="1:15" ht="15.75" customHeight="1" x14ac:dyDescent="0.2">
      <c r="A1" s="19" t="s">
        <v>97</v>
      </c>
      <c r="B1" s="19" t="s">
        <v>98</v>
      </c>
      <c r="C1" s="19" t="s">
        <v>99</v>
      </c>
      <c r="D1" s="9" t="s">
        <v>3</v>
      </c>
      <c r="E1" s="1" t="s">
        <v>4</v>
      </c>
      <c r="F1" s="1" t="s">
        <v>5</v>
      </c>
      <c r="H1" s="5" t="s">
        <v>1</v>
      </c>
      <c r="I1" s="1" t="s">
        <v>0</v>
      </c>
      <c r="J1" s="1" t="s">
        <v>1</v>
      </c>
      <c r="K1" s="1" t="s">
        <v>2</v>
      </c>
    </row>
    <row r="2" spans="1:15" ht="12.75" x14ac:dyDescent="0.2">
      <c r="A2" s="23" t="str">
        <f t="shared" ref="A2:A32" si="0">TEXT(LEFT(I2,6),"dd-mm-yyyy")</f>
        <v>28-01-2026</v>
      </c>
      <c r="B2" s="20" t="str">
        <f t="shared" ref="B2:B32" si="1">RIGHT(I2,2)</f>
        <v>US</v>
      </c>
      <c r="C2" s="20" t="str">
        <f t="shared" ref="C2:C32" si="2">_xlfn.CONCAT(J2," - ",K2)</f>
        <v>Laptop - Dell</v>
      </c>
      <c r="D2" s="13">
        <v>1000</v>
      </c>
      <c r="E2" s="12">
        <v>30</v>
      </c>
      <c r="F2" s="14" t="s">
        <v>9</v>
      </c>
      <c r="H2" s="6" t="s">
        <v>7</v>
      </c>
      <c r="I2" s="2" t="s">
        <v>6</v>
      </c>
      <c r="J2" s="2" t="str">
        <f t="shared" ref="J2:J32" si="3">PROPER(H2:H35)</f>
        <v>Laptop</v>
      </c>
      <c r="K2" s="2" t="s">
        <v>8</v>
      </c>
    </row>
    <row r="3" spans="1:15" ht="12.75" x14ac:dyDescent="0.2">
      <c r="A3" s="24" t="str">
        <f t="shared" si="0"/>
        <v>15-02-2026</v>
      </c>
      <c r="B3" s="21" t="str">
        <f t="shared" si="1"/>
        <v>US</v>
      </c>
      <c r="C3" s="21" t="str">
        <f t="shared" si="2"/>
        <v>Sneakers - Nike</v>
      </c>
      <c r="D3" s="16">
        <v>80</v>
      </c>
      <c r="E3" s="15">
        <v>15</v>
      </c>
      <c r="F3" s="15" t="s">
        <v>13</v>
      </c>
      <c r="H3" s="7" t="s">
        <v>11</v>
      </c>
      <c r="I3" s="3" t="s">
        <v>10</v>
      </c>
      <c r="J3" s="3" t="str">
        <f t="shared" si="3"/>
        <v>Sneakers</v>
      </c>
      <c r="K3" s="3" t="s">
        <v>12</v>
      </c>
      <c r="L3" s="2"/>
      <c r="M3" s="2"/>
      <c r="N3" s="2"/>
      <c r="O3" s="2"/>
    </row>
    <row r="4" spans="1:15" ht="12.75" x14ac:dyDescent="0.2">
      <c r="A4" s="23" t="str">
        <f t="shared" si="0"/>
        <v>03-03-2026</v>
      </c>
      <c r="B4" s="20" t="str">
        <f t="shared" si="1"/>
        <v>US</v>
      </c>
      <c r="C4" s="20" t="str">
        <f t="shared" si="2"/>
        <v>Coffee Maker - Keurig</v>
      </c>
      <c r="D4" s="13">
        <v>130</v>
      </c>
      <c r="E4" s="12">
        <v>40</v>
      </c>
      <c r="F4" s="12" t="s">
        <v>17</v>
      </c>
      <c r="H4" s="6" t="s">
        <v>15</v>
      </c>
      <c r="I4" s="2" t="s">
        <v>14</v>
      </c>
      <c r="J4" s="2" t="str">
        <f t="shared" si="3"/>
        <v>Coffee Maker</v>
      </c>
      <c r="K4" s="2" t="s">
        <v>16</v>
      </c>
      <c r="L4" s="2"/>
      <c r="M4" s="2"/>
      <c r="N4" s="2"/>
      <c r="O4" s="2"/>
    </row>
    <row r="5" spans="1:15" ht="12.75" x14ac:dyDescent="0.2">
      <c r="A5" s="24" t="str">
        <f t="shared" si="0"/>
        <v>11-04-2026</v>
      </c>
      <c r="B5" s="21" t="str">
        <f t="shared" si="1"/>
        <v>US</v>
      </c>
      <c r="C5" s="21" t="str">
        <f t="shared" si="2"/>
        <v>Smartphone - Samsung</v>
      </c>
      <c r="D5" s="16">
        <v>900</v>
      </c>
      <c r="E5" s="15">
        <v>25</v>
      </c>
      <c r="F5" s="15" t="s">
        <v>9</v>
      </c>
      <c r="H5" s="7" t="s">
        <v>19</v>
      </c>
      <c r="I5" s="3" t="s">
        <v>18</v>
      </c>
      <c r="J5" s="3" t="str">
        <f t="shared" si="3"/>
        <v>Smartphone</v>
      </c>
      <c r="K5" s="3" t="s">
        <v>20</v>
      </c>
      <c r="L5" s="2"/>
      <c r="M5" s="2"/>
      <c r="N5" s="2"/>
      <c r="O5" s="2"/>
    </row>
    <row r="6" spans="1:15" ht="12.75" x14ac:dyDescent="0.2">
      <c r="A6" s="23" t="str">
        <f t="shared" si="0"/>
        <v>22-05-2026</v>
      </c>
      <c r="B6" s="20" t="str">
        <f t="shared" si="1"/>
        <v>US</v>
      </c>
      <c r="C6" s="20" t="str">
        <f t="shared" si="2"/>
        <v>Backpack - North Face</v>
      </c>
      <c r="D6" s="13">
        <v>70</v>
      </c>
      <c r="E6" s="12">
        <v>20</v>
      </c>
      <c r="F6" s="12"/>
      <c r="H6" s="6" t="s">
        <v>22</v>
      </c>
      <c r="I6" s="2" t="s">
        <v>21</v>
      </c>
      <c r="J6" s="2" t="str">
        <f t="shared" si="3"/>
        <v>Backpack</v>
      </c>
      <c r="K6" s="2" t="s">
        <v>23</v>
      </c>
    </row>
    <row r="7" spans="1:15" ht="12.75" x14ac:dyDescent="0.2">
      <c r="A7" s="24" t="str">
        <f t="shared" si="0"/>
        <v>07-06-2026</v>
      </c>
      <c r="B7" s="21" t="str">
        <f t="shared" si="1"/>
        <v>UK</v>
      </c>
      <c r="C7" s="21" t="str">
        <f t="shared" si="2"/>
        <v>Headphones - Sony</v>
      </c>
      <c r="D7" s="17" t="s">
        <v>96</v>
      </c>
      <c r="E7" s="15">
        <v>45</v>
      </c>
      <c r="F7" s="18" t="s">
        <v>9</v>
      </c>
      <c r="H7" s="7" t="s">
        <v>25</v>
      </c>
      <c r="I7" s="3" t="s">
        <v>24</v>
      </c>
      <c r="J7" s="3" t="str">
        <f t="shared" si="3"/>
        <v>Headphones</v>
      </c>
      <c r="K7" s="3" t="s">
        <v>26</v>
      </c>
    </row>
    <row r="8" spans="1:15" ht="12.75" x14ac:dyDescent="0.2">
      <c r="A8" s="23" t="str">
        <f t="shared" si="0"/>
        <v>19-07-2026</v>
      </c>
      <c r="B8" s="20" t="str">
        <f t="shared" si="1"/>
        <v>UK</v>
      </c>
      <c r="C8" s="20" t="str">
        <f t="shared" si="2"/>
        <v>T-Shirt - Adidas</v>
      </c>
      <c r="D8" s="13">
        <v>30</v>
      </c>
      <c r="E8" s="12">
        <v>5</v>
      </c>
      <c r="F8" s="12" t="s">
        <v>13</v>
      </c>
      <c r="H8" s="6" t="s">
        <v>28</v>
      </c>
      <c r="I8" s="2" t="s">
        <v>27</v>
      </c>
      <c r="J8" s="2" t="str">
        <f t="shared" si="3"/>
        <v>T-Shirt</v>
      </c>
      <c r="K8" s="2" t="s">
        <v>29</v>
      </c>
    </row>
    <row r="9" spans="1:15" ht="12.75" x14ac:dyDescent="0.2">
      <c r="A9" s="24" t="str">
        <f t="shared" si="0"/>
        <v>23-08-2026</v>
      </c>
      <c r="B9" s="21" t="str">
        <f t="shared" si="1"/>
        <v>UK</v>
      </c>
      <c r="C9" s="21" t="str">
        <f t="shared" si="2"/>
        <v>Blender - Ninja</v>
      </c>
      <c r="D9" s="16">
        <v>90</v>
      </c>
      <c r="E9" s="15">
        <v>35</v>
      </c>
      <c r="F9" s="15" t="s">
        <v>17</v>
      </c>
      <c r="H9" s="7" t="s">
        <v>31</v>
      </c>
      <c r="I9" s="3" t="s">
        <v>30</v>
      </c>
      <c r="J9" s="3" t="str">
        <f t="shared" si="3"/>
        <v>Blender</v>
      </c>
      <c r="K9" s="3" t="s">
        <v>32</v>
      </c>
    </row>
    <row r="10" spans="1:15" ht="12.75" x14ac:dyDescent="0.2">
      <c r="A10" s="23" t="str">
        <f t="shared" si="0"/>
        <v>05-09-2026</v>
      </c>
      <c r="B10" s="20" t="str">
        <f t="shared" si="1"/>
        <v>UK</v>
      </c>
      <c r="C10" s="20" t="str">
        <f t="shared" si="2"/>
        <v>Tablet - Apple</v>
      </c>
      <c r="D10" s="13">
        <v>500</v>
      </c>
      <c r="E10" s="12">
        <v>50</v>
      </c>
      <c r="F10" s="12" t="s">
        <v>9</v>
      </c>
      <c r="H10" s="6" t="s">
        <v>34</v>
      </c>
      <c r="I10" s="2" t="s">
        <v>33</v>
      </c>
      <c r="J10" s="2" t="str">
        <f t="shared" si="3"/>
        <v>Tablet</v>
      </c>
      <c r="K10" s="2" t="s">
        <v>35</v>
      </c>
    </row>
    <row r="11" spans="1:15" ht="12.75" x14ac:dyDescent="0.2">
      <c r="A11" s="24" t="str">
        <f t="shared" si="0"/>
        <v>14-10-2026</v>
      </c>
      <c r="B11" s="21" t="str">
        <f t="shared" si="1"/>
        <v>UK</v>
      </c>
      <c r="C11" s="21" t="str">
        <f t="shared" si="2"/>
        <v>Hiking Boots - Timberland</v>
      </c>
      <c r="D11" s="16">
        <v>130</v>
      </c>
      <c r="E11" s="15">
        <v>10</v>
      </c>
      <c r="F11" s="15" t="s">
        <v>39</v>
      </c>
      <c r="H11" s="7" t="s">
        <v>37</v>
      </c>
      <c r="I11" s="3" t="s">
        <v>36</v>
      </c>
      <c r="J11" s="3" t="str">
        <f t="shared" si="3"/>
        <v>Hiking Boots</v>
      </c>
      <c r="K11" s="3" t="s">
        <v>38</v>
      </c>
    </row>
    <row r="12" spans="1:15" ht="12.75" x14ac:dyDescent="0.2">
      <c r="A12" s="23" t="str">
        <f t="shared" si="0"/>
        <v>17-06-2026</v>
      </c>
      <c r="B12" s="20" t="str">
        <f t="shared" si="1"/>
        <v>IN</v>
      </c>
      <c r="C12" s="20" t="str">
        <f t="shared" si="2"/>
        <v>Laptop - HP</v>
      </c>
      <c r="D12" s="13">
        <v>950</v>
      </c>
      <c r="E12" s="12">
        <v>25</v>
      </c>
      <c r="F12" s="12" t="s">
        <v>9</v>
      </c>
      <c r="H12" s="6" t="s">
        <v>41</v>
      </c>
      <c r="I12" s="2" t="s">
        <v>40</v>
      </c>
      <c r="J12" s="2" t="str">
        <f t="shared" si="3"/>
        <v>Laptop</v>
      </c>
      <c r="K12" s="2" t="s">
        <v>42</v>
      </c>
    </row>
    <row r="13" spans="1:15" ht="12.75" x14ac:dyDescent="0.2">
      <c r="A13" s="24" t="str">
        <f t="shared" si="0"/>
        <v>25-11-2026</v>
      </c>
      <c r="B13" s="21" t="str">
        <f t="shared" si="1"/>
        <v>AU</v>
      </c>
      <c r="C13" s="21" t="str">
        <f t="shared" si="2"/>
        <v>Sneakers - Adidas</v>
      </c>
      <c r="D13" s="16">
        <v>90</v>
      </c>
      <c r="E13" s="15">
        <v>40</v>
      </c>
      <c r="F13" s="12" t="s">
        <v>13</v>
      </c>
      <c r="H13" s="7" t="s">
        <v>11</v>
      </c>
      <c r="I13" s="3" t="s">
        <v>43</v>
      </c>
      <c r="J13" s="3" t="str">
        <f t="shared" si="3"/>
        <v>Sneakers</v>
      </c>
      <c r="K13" s="3" t="s">
        <v>29</v>
      </c>
    </row>
    <row r="14" spans="1:15" ht="12.75" x14ac:dyDescent="0.2">
      <c r="A14" s="23" t="str">
        <f t="shared" si="0"/>
        <v>08-12-2026</v>
      </c>
      <c r="B14" s="20" t="str">
        <f t="shared" si="1"/>
        <v>DE</v>
      </c>
      <c r="C14" s="20" t="str">
        <f t="shared" si="2"/>
        <v>Coffee Maker - Nespresso</v>
      </c>
      <c r="D14" s="13">
        <v>120</v>
      </c>
      <c r="E14" s="12">
        <v>35</v>
      </c>
      <c r="F14" s="15" t="s">
        <v>17</v>
      </c>
      <c r="H14" s="6" t="s">
        <v>15</v>
      </c>
      <c r="I14" s="2" t="s">
        <v>44</v>
      </c>
      <c r="J14" s="2" t="str">
        <f t="shared" si="3"/>
        <v>Coffee Maker</v>
      </c>
      <c r="K14" s="2" t="s">
        <v>45</v>
      </c>
    </row>
    <row r="15" spans="1:15" ht="12.75" x14ac:dyDescent="0.2">
      <c r="A15" s="24" t="str">
        <f t="shared" si="0"/>
        <v>18-02-2026</v>
      </c>
      <c r="B15" s="21" t="str">
        <f t="shared" si="1"/>
        <v>CA</v>
      </c>
      <c r="C15" s="21" t="str">
        <f t="shared" si="2"/>
        <v>Smartwatch - Fitbit</v>
      </c>
      <c r="D15" s="16">
        <v>150</v>
      </c>
      <c r="E15" s="15">
        <v>15</v>
      </c>
      <c r="F15" s="15" t="s">
        <v>9</v>
      </c>
      <c r="H15" s="7" t="s">
        <v>47</v>
      </c>
      <c r="I15" s="3" t="s">
        <v>46</v>
      </c>
      <c r="J15" s="3" t="str">
        <f t="shared" si="3"/>
        <v>Smartwatch</v>
      </c>
      <c r="K15" s="3" t="s">
        <v>48</v>
      </c>
    </row>
    <row r="16" spans="1:15" ht="12.75" x14ac:dyDescent="0.2">
      <c r="A16" s="23" t="str">
        <f t="shared" si="0"/>
        <v>16-04-2026</v>
      </c>
      <c r="B16" s="20" t="str">
        <f t="shared" si="1"/>
        <v>ES</v>
      </c>
      <c r="C16" s="20" t="str">
        <f t="shared" si="2"/>
        <v>Headphones - Bose</v>
      </c>
      <c r="D16" s="13">
        <v>250</v>
      </c>
      <c r="E16" s="12">
        <v>20</v>
      </c>
      <c r="F16" s="12" t="s">
        <v>9</v>
      </c>
      <c r="H16" s="6" t="s">
        <v>50</v>
      </c>
      <c r="I16" s="2" t="s">
        <v>49</v>
      </c>
      <c r="J16" s="2" t="str">
        <f t="shared" si="3"/>
        <v>Headphones</v>
      </c>
      <c r="K16" s="2" t="s">
        <v>51</v>
      </c>
    </row>
    <row r="17" spans="1:11" ht="12.75" x14ac:dyDescent="0.2">
      <c r="A17" s="24" t="str">
        <f t="shared" si="0"/>
        <v>21-08-2026</v>
      </c>
      <c r="B17" s="21" t="str">
        <f t="shared" si="1"/>
        <v>CA</v>
      </c>
      <c r="C17" s="21" t="str">
        <f t="shared" si="2"/>
        <v>Laptop Bag - Samsonite</v>
      </c>
      <c r="D17" s="16">
        <v>50</v>
      </c>
      <c r="E17" s="15">
        <v>35</v>
      </c>
      <c r="F17" s="15" t="s">
        <v>55</v>
      </c>
      <c r="H17" s="7" t="s">
        <v>53</v>
      </c>
      <c r="I17" s="3" t="s">
        <v>52</v>
      </c>
      <c r="J17" s="3" t="str">
        <f t="shared" si="3"/>
        <v>Laptop Bag</v>
      </c>
      <c r="K17" s="3" t="s">
        <v>54</v>
      </c>
    </row>
    <row r="18" spans="1:11" ht="12.75" x14ac:dyDescent="0.2">
      <c r="A18" s="23" t="str">
        <f t="shared" si="0"/>
        <v>20-08-2026</v>
      </c>
      <c r="B18" s="20" t="str">
        <f t="shared" si="1"/>
        <v>CN</v>
      </c>
      <c r="C18" s="20" t="str">
        <f t="shared" si="2"/>
        <v>Smartwatch - Huawei</v>
      </c>
      <c r="D18" s="13">
        <v>160</v>
      </c>
      <c r="E18" s="12">
        <v>15</v>
      </c>
      <c r="F18" s="12" t="s">
        <v>9</v>
      </c>
      <c r="H18" s="6" t="s">
        <v>47</v>
      </c>
      <c r="I18" s="2" t="s">
        <v>56</v>
      </c>
      <c r="J18" s="2" t="str">
        <f t="shared" si="3"/>
        <v>Smartwatch</v>
      </c>
      <c r="K18" s="2" t="s">
        <v>57</v>
      </c>
    </row>
    <row r="19" spans="1:11" ht="12.75" x14ac:dyDescent="0.2">
      <c r="A19" s="24" t="str">
        <f t="shared" si="0"/>
        <v>27-01-2026</v>
      </c>
      <c r="B19" s="21" t="str">
        <f t="shared" si="1"/>
        <v>IT</v>
      </c>
      <c r="C19" s="21" t="str">
        <f t="shared" si="2"/>
        <v>Laptop - Asus</v>
      </c>
      <c r="D19" s="16">
        <v>980</v>
      </c>
      <c r="E19" s="15">
        <v>10</v>
      </c>
      <c r="F19" s="15" t="s">
        <v>9</v>
      </c>
      <c r="H19" s="7" t="s">
        <v>7</v>
      </c>
      <c r="I19" s="3" t="s">
        <v>58</v>
      </c>
      <c r="J19" s="3" t="str">
        <f t="shared" si="3"/>
        <v>Laptop</v>
      </c>
      <c r="K19" s="3" t="s">
        <v>59</v>
      </c>
    </row>
    <row r="20" spans="1:11" ht="12.75" x14ac:dyDescent="0.2">
      <c r="A20" s="23" t="str">
        <f t="shared" si="0"/>
        <v>01-03-2026</v>
      </c>
      <c r="B20" s="20" t="str">
        <f t="shared" si="1"/>
        <v>UK</v>
      </c>
      <c r="C20" s="20" t="str">
        <f t="shared" si="2"/>
        <v>Sunglasses - Oakley</v>
      </c>
      <c r="D20" s="13">
        <v>150</v>
      </c>
      <c r="E20" s="12">
        <v>15</v>
      </c>
      <c r="F20" s="12" t="s">
        <v>13</v>
      </c>
      <c r="H20" s="6" t="s">
        <v>61</v>
      </c>
      <c r="I20" s="2" t="s">
        <v>60</v>
      </c>
      <c r="J20" s="2" t="str">
        <f t="shared" si="3"/>
        <v>Sunglasses</v>
      </c>
      <c r="K20" s="2" t="s">
        <v>62</v>
      </c>
    </row>
    <row r="21" spans="1:11" ht="12.75" x14ac:dyDescent="0.2">
      <c r="A21" s="24" t="str">
        <f t="shared" si="0"/>
        <v>14-08-2026</v>
      </c>
      <c r="B21" s="21" t="str">
        <f t="shared" si="1"/>
        <v>US</v>
      </c>
      <c r="C21" s="21" t="str">
        <f t="shared" si="2"/>
        <v>Camping Tent - Coleman</v>
      </c>
      <c r="D21" s="17" t="s">
        <v>96</v>
      </c>
      <c r="E21" s="15">
        <v>10</v>
      </c>
      <c r="F21" s="15" t="s">
        <v>39</v>
      </c>
      <c r="H21" s="7" t="s">
        <v>64</v>
      </c>
      <c r="I21" s="3" t="s">
        <v>63</v>
      </c>
      <c r="J21" s="3" t="str">
        <f t="shared" si="3"/>
        <v>Camping Tent</v>
      </c>
      <c r="K21" s="3" t="s">
        <v>65</v>
      </c>
    </row>
    <row r="22" spans="1:11" ht="12.75" x14ac:dyDescent="0.2">
      <c r="A22" s="23" t="str">
        <f t="shared" si="0"/>
        <v>14-05-2026</v>
      </c>
      <c r="B22" s="20" t="str">
        <f t="shared" si="1"/>
        <v>RU</v>
      </c>
      <c r="C22" s="20" t="str">
        <f t="shared" si="2"/>
        <v>Camera - Nikon</v>
      </c>
      <c r="D22" s="13">
        <v>700</v>
      </c>
      <c r="E22" s="12">
        <v>50</v>
      </c>
      <c r="F22" s="12" t="s">
        <v>9</v>
      </c>
      <c r="H22" s="6" t="s">
        <v>67</v>
      </c>
      <c r="I22" s="2" t="s">
        <v>66</v>
      </c>
      <c r="J22" s="2" t="str">
        <f t="shared" si="3"/>
        <v>Camera</v>
      </c>
      <c r="K22" s="2" t="s">
        <v>68</v>
      </c>
    </row>
    <row r="23" spans="1:11" ht="12.75" x14ac:dyDescent="0.2">
      <c r="A23" s="24" t="str">
        <f t="shared" si="0"/>
        <v>09-01-2026</v>
      </c>
      <c r="B23" s="21" t="str">
        <f t="shared" si="1"/>
        <v>CA</v>
      </c>
      <c r="C23" s="21" t="str">
        <f t="shared" si="2"/>
        <v>Microwave - Panasonic</v>
      </c>
      <c r="D23" s="16">
        <v>80</v>
      </c>
      <c r="E23" s="15">
        <v>20</v>
      </c>
      <c r="F23" s="15" t="s">
        <v>17</v>
      </c>
      <c r="H23" s="7" t="s">
        <v>70</v>
      </c>
      <c r="I23" s="3" t="s">
        <v>69</v>
      </c>
      <c r="J23" s="3" t="str">
        <f t="shared" si="3"/>
        <v>Microwave</v>
      </c>
      <c r="K23" s="3" t="s">
        <v>71</v>
      </c>
    </row>
    <row r="24" spans="1:11" ht="12.75" x14ac:dyDescent="0.2">
      <c r="A24" s="23" t="str">
        <f t="shared" si="0"/>
        <v>19-07-2026</v>
      </c>
      <c r="B24" s="20" t="str">
        <f t="shared" si="1"/>
        <v>BR</v>
      </c>
      <c r="C24" s="20" t="str">
        <f t="shared" si="2"/>
        <v>Fitness Tracker - Xiaomi</v>
      </c>
      <c r="D24" s="13">
        <v>150</v>
      </c>
      <c r="E24" s="12">
        <v>30</v>
      </c>
      <c r="F24" s="15" t="s">
        <v>55</v>
      </c>
      <c r="H24" s="6" t="s">
        <v>73</v>
      </c>
      <c r="I24" s="2" t="s">
        <v>72</v>
      </c>
      <c r="J24" s="2" t="str">
        <f t="shared" si="3"/>
        <v>Fitness Tracker</v>
      </c>
      <c r="K24" s="2" t="s">
        <v>74</v>
      </c>
    </row>
    <row r="25" spans="1:11" ht="12.75" x14ac:dyDescent="0.2">
      <c r="A25" s="23" t="str">
        <f t="shared" si="0"/>
        <v>29-09-2026</v>
      </c>
      <c r="B25" s="20" t="str">
        <f t="shared" si="1"/>
        <v>CA</v>
      </c>
      <c r="C25" s="20" t="str">
        <f t="shared" si="2"/>
        <v>Laptop Bag - Google</v>
      </c>
      <c r="D25" s="13">
        <v>800</v>
      </c>
      <c r="E25" s="12">
        <v>45</v>
      </c>
      <c r="F25" s="12" t="s">
        <v>9</v>
      </c>
      <c r="H25" s="7" t="s">
        <v>53</v>
      </c>
      <c r="I25" s="2" t="s">
        <v>75</v>
      </c>
      <c r="J25" s="2" t="str">
        <f t="shared" si="3"/>
        <v>Laptop Bag</v>
      </c>
      <c r="K25" s="2" t="s">
        <v>77</v>
      </c>
    </row>
    <row r="26" spans="1:11" ht="12.75" x14ac:dyDescent="0.2">
      <c r="A26" s="24" t="str">
        <f t="shared" si="0"/>
        <v>03-06-2026</v>
      </c>
      <c r="B26" s="21" t="str">
        <f t="shared" si="1"/>
        <v>CA</v>
      </c>
      <c r="C26" s="21" t="str">
        <f t="shared" si="2"/>
        <v>Smartphone - Ray-Ban</v>
      </c>
      <c r="D26" s="17" t="s">
        <v>96</v>
      </c>
      <c r="E26" s="15">
        <v>25</v>
      </c>
      <c r="F26" s="15" t="s">
        <v>13</v>
      </c>
      <c r="H26" s="6" t="s">
        <v>76</v>
      </c>
      <c r="I26" s="3" t="s">
        <v>78</v>
      </c>
      <c r="J26" s="3" t="str">
        <f t="shared" si="3"/>
        <v>Smartphone</v>
      </c>
      <c r="K26" s="3" t="s">
        <v>79</v>
      </c>
    </row>
    <row r="27" spans="1:11" ht="12.75" x14ac:dyDescent="0.2">
      <c r="A27" s="23" t="str">
        <f t="shared" si="0"/>
        <v>11-07-2026</v>
      </c>
      <c r="B27" s="20" t="str">
        <f t="shared" si="1"/>
        <v>CA</v>
      </c>
      <c r="C27" s="20" t="str">
        <f t="shared" si="2"/>
        <v>Sunglasses - Vitamix</v>
      </c>
      <c r="D27" s="13">
        <v>400</v>
      </c>
      <c r="E27" s="12">
        <v>40</v>
      </c>
      <c r="F27" s="12" t="s">
        <v>17</v>
      </c>
      <c r="H27" s="7" t="s">
        <v>61</v>
      </c>
      <c r="I27" s="2" t="s">
        <v>80</v>
      </c>
      <c r="J27" s="2" t="str">
        <f t="shared" si="3"/>
        <v>Sunglasses</v>
      </c>
      <c r="K27" s="2" t="s">
        <v>81</v>
      </c>
    </row>
    <row r="28" spans="1:11" ht="12.75" x14ac:dyDescent="0.2">
      <c r="A28" s="23" t="str">
        <f t="shared" si="0"/>
        <v>07-03-2026</v>
      </c>
      <c r="B28" s="20" t="str">
        <f t="shared" si="1"/>
        <v>CA</v>
      </c>
      <c r="C28" s="20" t="str">
        <f t="shared" si="2"/>
        <v>Blender - Zara</v>
      </c>
      <c r="D28" s="13">
        <v>60</v>
      </c>
      <c r="E28" s="12">
        <v>30</v>
      </c>
      <c r="F28" s="12" t="s">
        <v>13</v>
      </c>
      <c r="H28" s="6" t="s">
        <v>31</v>
      </c>
      <c r="I28" s="2" t="s">
        <v>82</v>
      </c>
      <c r="J28" s="2" t="str">
        <f t="shared" si="3"/>
        <v>Blender</v>
      </c>
      <c r="K28" s="2" t="s">
        <v>84</v>
      </c>
    </row>
    <row r="29" spans="1:11" ht="12.75" x14ac:dyDescent="0.2">
      <c r="A29" s="24" t="str">
        <f t="shared" si="0"/>
        <v>13-04-2026</v>
      </c>
      <c r="B29" s="21" t="str">
        <f t="shared" si="1"/>
        <v>CA</v>
      </c>
      <c r="C29" s="21" t="str">
        <f t="shared" si="2"/>
        <v>Headphones - Hamilton</v>
      </c>
      <c r="D29" s="16">
        <v>40</v>
      </c>
      <c r="E29" s="15">
        <v>10</v>
      </c>
      <c r="F29" s="15" t="s">
        <v>17</v>
      </c>
      <c r="H29" s="7" t="s">
        <v>50</v>
      </c>
      <c r="I29" s="3" t="s">
        <v>85</v>
      </c>
      <c r="J29" s="3" t="str">
        <f t="shared" si="3"/>
        <v>Headphones</v>
      </c>
      <c r="K29" s="3" t="s">
        <v>87</v>
      </c>
    </row>
    <row r="30" spans="1:11" ht="12.75" x14ac:dyDescent="0.2">
      <c r="A30" s="23" t="str">
        <f t="shared" si="0"/>
        <v>24-05-2026</v>
      </c>
      <c r="B30" s="20" t="str">
        <f t="shared" si="1"/>
        <v>CA</v>
      </c>
      <c r="C30" s="20" t="str">
        <f t="shared" si="2"/>
        <v>Dress - Garmin</v>
      </c>
      <c r="D30" s="13">
        <v>130</v>
      </c>
      <c r="E30" s="12">
        <v>5</v>
      </c>
      <c r="F30" s="12" t="s">
        <v>9</v>
      </c>
      <c r="H30" s="6" t="s">
        <v>83</v>
      </c>
      <c r="I30" s="2" t="s">
        <v>88</v>
      </c>
      <c r="J30" s="2" t="str">
        <f t="shared" si="3"/>
        <v>Dress</v>
      </c>
      <c r="K30" s="2" t="s">
        <v>89</v>
      </c>
    </row>
    <row r="31" spans="1:11" ht="12.75" x14ac:dyDescent="0.2">
      <c r="A31" s="24" t="str">
        <f t="shared" si="0"/>
        <v>02-12-2026</v>
      </c>
      <c r="B31" s="21" t="str">
        <f t="shared" si="1"/>
        <v>CA</v>
      </c>
      <c r="C31" s="21" t="str">
        <f t="shared" si="2"/>
        <v>Toaster - Levi's</v>
      </c>
      <c r="D31" s="16">
        <v>50</v>
      </c>
      <c r="E31" s="15">
        <v>50</v>
      </c>
      <c r="F31" s="15" t="s">
        <v>13</v>
      </c>
      <c r="H31" s="7" t="s">
        <v>86</v>
      </c>
      <c r="I31" s="3" t="s">
        <v>90</v>
      </c>
      <c r="J31" s="3" t="str">
        <f t="shared" si="3"/>
        <v>Toaster</v>
      </c>
      <c r="K31" s="3" t="s">
        <v>92</v>
      </c>
    </row>
    <row r="32" spans="1:11" ht="12.75" x14ac:dyDescent="0.2">
      <c r="A32" s="24" t="str">
        <f t="shared" si="0"/>
        <v>09-07-2026</v>
      </c>
      <c r="B32" s="21" t="str">
        <f t="shared" si="1"/>
        <v>FR</v>
      </c>
      <c r="C32" s="21" t="str">
        <f t="shared" si="2"/>
        <v>Fitness Tracker - Casio</v>
      </c>
      <c r="D32" s="16">
        <v>100</v>
      </c>
      <c r="E32" s="15">
        <v>20</v>
      </c>
      <c r="F32" s="15" t="s">
        <v>55</v>
      </c>
      <c r="H32" s="6" t="s">
        <v>73</v>
      </c>
      <c r="I32" s="3" t="s">
        <v>93</v>
      </c>
      <c r="J32" s="3" t="str">
        <f t="shared" si="3"/>
        <v>Fitness Tracker</v>
      </c>
      <c r="K32" s="3" t="s">
        <v>95</v>
      </c>
    </row>
    <row r="33" spans="4:8" ht="15.75" customHeight="1" x14ac:dyDescent="0.2">
      <c r="D33" s="10"/>
      <c r="H33" s="7" t="s">
        <v>91</v>
      </c>
    </row>
    <row r="34" spans="4:8" ht="15.75" customHeight="1" x14ac:dyDescent="0.2">
      <c r="D34" s="10"/>
      <c r="H34" s="6" t="s">
        <v>41</v>
      </c>
    </row>
    <row r="35" spans="4:8" ht="15.75" customHeight="1" x14ac:dyDescent="0.2">
      <c r="D35" s="10"/>
      <c r="H35" s="7" t="s">
        <v>94</v>
      </c>
    </row>
    <row r="36" spans="4:8" ht="15.75" customHeight="1" x14ac:dyDescent="0.2"/>
    <row r="37" spans="4:8" ht="15.75" customHeight="1" x14ac:dyDescent="0.2"/>
    <row r="38" spans="4:8" ht="15.75" customHeight="1" x14ac:dyDescent="0.2"/>
    <row r="39" spans="4:8" ht="15.75" customHeight="1" x14ac:dyDescent="0.2"/>
    <row r="40" spans="4:8" ht="15.75" customHeight="1" x14ac:dyDescent="0.2"/>
    <row r="41" spans="4:8" ht="15.75" customHeight="1" x14ac:dyDescent="0.2"/>
    <row r="42" spans="4:8" ht="15.75" customHeight="1" x14ac:dyDescent="0.2"/>
    <row r="43" spans="4:8" ht="15.75" customHeight="1" x14ac:dyDescent="0.2"/>
    <row r="44" spans="4:8" ht="15.75" customHeight="1" x14ac:dyDescent="0.2"/>
    <row r="45" spans="4:8" ht="15.75" customHeight="1" x14ac:dyDescent="0.2"/>
    <row r="46" spans="4:8" ht="15.75" customHeight="1" x14ac:dyDescent="0.2"/>
    <row r="47" spans="4:8" ht="15.75" customHeight="1" x14ac:dyDescent="0.2"/>
    <row r="48" spans="4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{A728981C-9635-41D0-8C85-58130411FCB9}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28981C-9635-41D0-8C85-58130411F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F3721C53-69E9-4923-840B-711EE7B2F8B6}">
            <xm:f>NOT(ISERROR(SEARCH($F$2,F1)))</xm:f>
            <xm:f>$F$2</xm:f>
            <x14:dxf>
              <fill>
                <patternFill>
                  <bgColor theme="8" tint="0.39994506668294322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Subramaniyam sathya</cp:lastModifiedBy>
  <dcterms:modified xsi:type="dcterms:W3CDTF">2026-06-12T17:31:12Z</dcterms:modified>
</cp:coreProperties>
</file>